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https://energisa-my.sharepoint.com/personal/william_rodrigues_energisa_com_br/Documents/"/>
    </mc:Choice>
  </mc:AlternateContent>
  <xr:revisionPtr revIDLastSave="0" documentId="8_{60633665-C37D-4855-B08F-CA11BCFEEFAD}" xr6:coauthVersionLast="47" xr6:coauthVersionMax="47" xr10:uidLastSave="{00000000-0000-0000-0000-000000000000}"/>
  <bookViews>
    <workbookView xWindow="-120" yWindow="-120" windowWidth="24240" windowHeight="13140" tabRatio="874" xr2:uid="{00000000-000D-0000-FFFF-FFFF00000000}"/>
  </bookViews>
  <sheets>
    <sheet name="Peso cabos" sheetId="7" r:id="rId1"/>
    <sheet name="Planilha1" sheetId="8" r:id="rId2"/>
  </sheets>
  <definedNames>
    <definedName name="_xlnm._FilterDatabase" localSheetId="0" hidden="1">'Peso cabos'!$A$1:$I$53</definedName>
    <definedName name="Excel_BuiltIn__FilterDatabase_1_1">#REF!</definedName>
    <definedName name="Excel_BuiltIn__FilterDatabase_1_1_1">#REF!</definedName>
    <definedName name="Excel_BuiltIn__FilterDatabase_1_1_1_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7" l="1"/>
  <c r="E4" i="7"/>
  <c r="E11" i="7"/>
  <c r="E10" i="7"/>
  <c r="E12" i="7"/>
  <c r="E48" i="7"/>
  <c r="C10" i="7"/>
  <c r="F45" i="7"/>
  <c r="H10" i="7"/>
  <c r="F50" i="7"/>
  <c r="F40" i="7"/>
  <c r="F39" i="7"/>
  <c r="E45" i="7"/>
  <c r="F52" i="7"/>
  <c r="F53" i="7"/>
  <c r="H5" i="7"/>
  <c r="H6" i="7"/>
  <c r="H7" i="7"/>
  <c r="H8" i="7"/>
  <c r="H9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4" i="7"/>
  <c r="H53" i="7"/>
  <c r="C53" i="7"/>
  <c r="F4" i="7"/>
  <c r="F51" i="7"/>
  <c r="F49" i="7"/>
  <c r="C49" i="7"/>
  <c r="F47" i="7"/>
  <c r="F5" i="7"/>
  <c r="G7" i="8"/>
  <c r="G8" i="8"/>
  <c r="G9" i="8"/>
  <c r="G10" i="8"/>
  <c r="G11" i="8"/>
  <c r="G6" i="8"/>
  <c r="G16" i="8"/>
  <c r="G17" i="8"/>
  <c r="G18" i="8"/>
  <c r="G19" i="8"/>
  <c r="G20" i="8"/>
  <c r="G21" i="8"/>
  <c r="G22" i="8"/>
  <c r="G23" i="8"/>
  <c r="G24" i="8"/>
  <c r="G25" i="8"/>
  <c r="G15" i="8"/>
  <c r="F48" i="7"/>
  <c r="F46" i="7"/>
  <c r="F41" i="7"/>
  <c r="F3" i="7"/>
  <c r="H3" i="7"/>
  <c r="C4" i="7"/>
  <c r="C5" i="7"/>
  <c r="C6" i="7"/>
  <c r="F6" i="7"/>
  <c r="C7" i="7"/>
  <c r="F7" i="7"/>
  <c r="C8" i="7"/>
  <c r="F8" i="7"/>
  <c r="C9" i="7"/>
  <c r="F9" i="7"/>
  <c r="F10" i="7"/>
  <c r="C11" i="7"/>
  <c r="F11" i="7"/>
  <c r="C12" i="7"/>
  <c r="F12" i="7"/>
  <c r="C13" i="7"/>
  <c r="F13" i="7"/>
  <c r="C14" i="7"/>
  <c r="F14" i="7"/>
  <c r="C15" i="7"/>
  <c r="F15" i="7"/>
  <c r="C16" i="7"/>
  <c r="F16" i="7"/>
  <c r="C17" i="7"/>
  <c r="F17" i="7"/>
  <c r="F18" i="7"/>
  <c r="C19" i="7"/>
  <c r="F19" i="7"/>
  <c r="C20" i="7"/>
  <c r="C21" i="7"/>
  <c r="F21" i="7"/>
  <c r="C22" i="7"/>
  <c r="F22" i="7"/>
  <c r="C23" i="7"/>
  <c r="F23" i="7"/>
  <c r="C24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42" i="7"/>
  <c r="F43" i="7"/>
  <c r="F44" i="7"/>
</calcChain>
</file>

<file path=xl/sharedStrings.xml><?xml version="1.0" encoding="utf-8"?>
<sst xmlns="http://schemas.openxmlformats.org/spreadsheetml/2006/main" count="88" uniqueCount="75">
  <si>
    <t>TABELA DE PESO DE CABO - AL e Co</t>
  </si>
  <si>
    <t>DESCRIÇÃO</t>
  </si>
  <si>
    <t>CÓDIGO</t>
  </si>
  <si>
    <t>PESO P/KM</t>
  </si>
  <si>
    <t>FATOR kg/m</t>
  </si>
  <si>
    <t>QUANT.
M</t>
  </si>
  <si>
    <t>Kg</t>
  </si>
  <si>
    <t>QUANT.
Kg</t>
  </si>
  <si>
    <t>M</t>
  </si>
  <si>
    <t>CB COBRE ISOLADO 15KV 35mm² (Mega Jumper) - unidade (280m x 3)</t>
  </si>
  <si>
    <t>▲▲ P R E E N C H E R  A P E N A S  A S  C O L U N A S  P R E T A S ▲▲</t>
  </si>
  <si>
    <t>CB ALUMINIO CA 4 AWG</t>
  </si>
  <si>
    <t>CB ALUMINIO CA 2 AWG</t>
  </si>
  <si>
    <t>CB ALUMINIO CA 1/0 AWG</t>
  </si>
  <si>
    <t>--</t>
  </si>
  <si>
    <t>CB ALUMINIO CA 4/0 AWG</t>
  </si>
  <si>
    <t>CB ALUMINIO CA 336,4 MCM</t>
  </si>
  <si>
    <t>CB ALUMINIO CA 477 MCM</t>
  </si>
  <si>
    <t>CB ALUMINIO CAA 4 AWG</t>
  </si>
  <si>
    <t>CB ALUMINIO CAA 2 AWG</t>
  </si>
  <si>
    <t>CB ALUMINIO CAA 1/0 AWG</t>
  </si>
  <si>
    <t>CB ALUMINIO CAA 2/0 AWG</t>
  </si>
  <si>
    <t>CB ALUMINIO CAA 4/0 AWG</t>
  </si>
  <si>
    <t>CB ALUMINIO CAA 266 MCM</t>
  </si>
  <si>
    <t>CB ALUMINIO CAA 336,6 MCM</t>
  </si>
  <si>
    <t>FIO DE COBRE NU (1x10) 6AWG_3,8mm</t>
  </si>
  <si>
    <t>FIO DE COBRE NU 6mm²_3,3mm</t>
  </si>
  <si>
    <t>CB COBRE NÚ 3 AWG (16mm²)</t>
  </si>
  <si>
    <t>CB COBRE NÚ 4 AWG (21mm²)</t>
  </si>
  <si>
    <t>CB COBRE NÚ 2 AWG (34mm²)</t>
  </si>
  <si>
    <t>CB COBRE NÚ 1/0 AWG (53mm²)</t>
  </si>
  <si>
    <t>CB COBRE NÚ 2/0 AWG (67mm²)</t>
  </si>
  <si>
    <t>CB COBRE NÚ 4/0 AWG (107mm²)</t>
  </si>
  <si>
    <t>Multiplex XLPE-3x1x25+25</t>
  </si>
  <si>
    <t>Multiplex XLPE-3x1x35+35</t>
  </si>
  <si>
    <t>Multiplex XLPE-3x1x70+70</t>
  </si>
  <si>
    <t>Multiplex XLPE-3x1x120+70</t>
  </si>
  <si>
    <t>Multiplex XLPE-3x1x10+10</t>
  </si>
  <si>
    <t>Multiplex XLPE-3x1x16+16</t>
  </si>
  <si>
    <t>Multiplex XLPE-3x1x50+50</t>
  </si>
  <si>
    <t>Multiplex XLPE-2x1x35+35</t>
  </si>
  <si>
    <t>Multiplex XLPE-2x1x70+70</t>
  </si>
  <si>
    <t>Multiplex XLPE-2x1x10+10</t>
  </si>
  <si>
    <t>Multiplex XLPE-2x1x16+16</t>
  </si>
  <si>
    <t>Multiplex XLPE-2x1x25+25</t>
  </si>
  <si>
    <t>Multiplex XLPE-1x1x16+16</t>
  </si>
  <si>
    <t>Multiplex XLPE-1x1x25+25</t>
  </si>
  <si>
    <t>Multiplex XLPE-1x1x10+10</t>
  </si>
  <si>
    <t>Cabo Xlpe cobre</t>
  </si>
  <si>
    <t>Fio de Cobre isolado 4mm</t>
  </si>
  <si>
    <t>Cordoalha de aço Zincado 9,5mm (3/8")</t>
  </si>
  <si>
    <t>Cordoalha de aço Zincado 6,4mm (1/4")</t>
  </si>
  <si>
    <t>Cordoalha de aço Zincado 3x2,25mm (3/16")</t>
  </si>
  <si>
    <t>Cabo protegido XLPE 15 kV 50mm² 1f 6 fios</t>
  </si>
  <si>
    <t>Cabo protegido XLPE 15 kV 120mm² 1f 15 fios</t>
  </si>
  <si>
    <t>Cabo protegido XLPE 15 kV 185mm² 1f 30 fios</t>
  </si>
  <si>
    <t>Cabo aluminio CAL/AAAC 1/0 AWG</t>
  </si>
  <si>
    <t>Cabo de cobre NU 300 mm²</t>
  </si>
  <si>
    <t>CABO CU NU 120mm² 1F</t>
  </si>
  <si>
    <t>Cabo aluminio CAL/AAAC 4/0 AWG</t>
  </si>
  <si>
    <t>Cabo Alumínio Nu 1F CAL/AAAC 2AWG</t>
  </si>
  <si>
    <t>Cabo Alumínio Nu Tipo CAL 336,4 MCM</t>
  </si>
  <si>
    <t>1-n2</t>
  </si>
  <si>
    <t>arruela</t>
  </si>
  <si>
    <t>cruzeta</t>
  </si>
  <si>
    <t>solador pilar</t>
  </si>
  <si>
    <t>pino para is</t>
  </si>
  <si>
    <t xml:space="preserve">laço </t>
  </si>
  <si>
    <t>porca</t>
  </si>
  <si>
    <t>1-n4</t>
  </si>
  <si>
    <t>porca olhal</t>
  </si>
  <si>
    <t>gancho</t>
  </si>
  <si>
    <t>isolador sus</t>
  </si>
  <si>
    <t>manilha</t>
  </si>
  <si>
    <t>alça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</si>
</sst>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.000_);_(* \(#,##0.000\);_(* &quot;-&quot;??_);_(@_)"/>
    <numFmt numFmtId="166" formatCode="0.0000"/>
  </numFmts>
  <fonts count="27">
    <font>
      <sz val="10"/>
      <name val="Arial"/>
    </font>
    <font>
      <sz val="10"/>
      <name val="Arial"/>
    </font>
    <font>
      <b/>
      <sz val="8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0"/>
      <color indexed="9"/>
      <name val="Arial"/>
      <family val="2"/>
    </font>
    <font>
      <sz val="11"/>
      <color indexed="63"/>
      <name val="Calibri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b/>
      <sz val="10"/>
      <color theme="6" tint="-0.499984740745262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63"/>
        <bgColor indexed="31"/>
      </patternFill>
    </fill>
    <fill>
      <patternFill patternType="solid">
        <fgColor indexed="2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3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0" fontId="22" fillId="0" borderId="0"/>
    <xf numFmtId="0" fontId="5" fillId="22" borderId="4" applyNumberFormat="0" applyFont="0" applyAlignment="0" applyProtection="0"/>
    <xf numFmtId="0" fontId="12" fillId="16" borderId="5" applyNumberFormat="0" applyAlignment="0" applyProtection="0"/>
    <xf numFmtId="164" fontId="2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164" fontId="1" fillId="0" borderId="0" applyFill="0" applyBorder="0" applyAlignment="0" applyProtection="0"/>
  </cellStyleXfs>
  <cellXfs count="40">
    <xf numFmtId="0" fontId="0" fillId="0" borderId="0" xfId="0"/>
    <xf numFmtId="0" fontId="3" fillId="0" borderId="0" xfId="0" applyFont="1" applyAlignment="1">
      <alignment horizontal="center"/>
    </xf>
    <xf numFmtId="0" fontId="4" fillId="28" borderId="12" xfId="0" applyFont="1" applyFill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166" fontId="3" fillId="0" borderId="12" xfId="0" applyNumberFormat="1" applyFont="1" applyBorder="1" applyAlignment="1">
      <alignment horizontal="center" vertical="center"/>
    </xf>
    <xf numFmtId="0" fontId="20" fillId="23" borderId="12" xfId="0" applyFont="1" applyFill="1" applyBorder="1" applyAlignment="1">
      <alignment horizontal="center"/>
    </xf>
    <xf numFmtId="0" fontId="4" fillId="28" borderId="12" xfId="0" quotePrefix="1" applyFont="1" applyFill="1" applyBorder="1" applyAlignment="1">
      <alignment horizontal="center" vertical="center"/>
    </xf>
    <xf numFmtId="3" fontId="20" fillId="23" borderId="12" xfId="0" applyNumberFormat="1" applyFont="1" applyFill="1" applyBorder="1" applyAlignment="1">
      <alignment horizontal="center"/>
    </xf>
    <xf numFmtId="3" fontId="20" fillId="23" borderId="12" xfId="0" applyNumberFormat="1" applyFont="1" applyFill="1" applyBorder="1" applyAlignment="1">
      <alignment horizontal="center" wrapText="1"/>
    </xf>
    <xf numFmtId="0" fontId="4" fillId="28" borderId="12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24" borderId="13" xfId="0" applyFont="1" applyFill="1" applyBorder="1" applyAlignment="1">
      <alignment horizontal="center" vertical="center"/>
    </xf>
    <xf numFmtId="0" fontId="4" fillId="24" borderId="10" xfId="0" applyFont="1" applyFill="1" applyBorder="1" applyAlignment="1">
      <alignment horizontal="center" vertical="center"/>
    </xf>
    <xf numFmtId="0" fontId="2" fillId="25" borderId="10" xfId="0" applyFont="1" applyFill="1" applyBorder="1" applyAlignment="1">
      <alignment horizontal="center" vertical="center" wrapText="1"/>
    </xf>
    <xf numFmtId="0" fontId="4" fillId="24" borderId="14" xfId="0" applyFont="1" applyFill="1" applyBorder="1" applyAlignment="1">
      <alignment horizontal="center" vertical="center"/>
    </xf>
    <xf numFmtId="0" fontId="4" fillId="26" borderId="11" xfId="0" applyFont="1" applyFill="1" applyBorder="1" applyAlignment="1">
      <alignment horizontal="center" vertical="center"/>
    </xf>
    <xf numFmtId="0" fontId="4" fillId="28" borderId="15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0" fillId="23" borderId="15" xfId="0" applyFont="1" applyFill="1" applyBorder="1" applyAlignment="1">
      <alignment horizontal="center"/>
    </xf>
    <xf numFmtId="165" fontId="1" fillId="0" borderId="0" xfId="42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165" fontId="1" fillId="0" borderId="12" xfId="42" applyNumberForma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25" fillId="28" borderId="12" xfId="0" applyFont="1" applyFill="1" applyBorder="1" applyAlignment="1">
      <alignment horizontal="center" vertical="center"/>
    </xf>
    <xf numFmtId="0" fontId="25" fillId="0" borderId="12" xfId="0" applyFont="1" applyBorder="1" applyAlignment="1">
      <alignment horizontal="center" vertical="center" wrapText="1"/>
    </xf>
    <xf numFmtId="2" fontId="25" fillId="0" borderId="12" xfId="0" applyNumberFormat="1" applyFont="1" applyBorder="1" applyAlignment="1">
      <alignment horizontal="center" vertical="center"/>
    </xf>
    <xf numFmtId="166" fontId="25" fillId="0" borderId="12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23" borderId="12" xfId="0" applyFont="1" applyFill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3" fillId="28" borderId="12" xfId="0" applyFont="1" applyFill="1" applyBorder="1" applyAlignment="1">
      <alignment horizontal="center" vertical="center"/>
    </xf>
    <xf numFmtId="165" fontId="0" fillId="0" borderId="12" xfId="42" applyNumberFormat="1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3" fontId="20" fillId="23" borderId="15" xfId="0" applyNumberFormat="1" applyFont="1" applyFill="1" applyBorder="1" applyAlignment="1">
      <alignment horizontal="center"/>
    </xf>
    <xf numFmtId="0" fontId="24" fillId="27" borderId="12" xfId="0" applyFont="1" applyFill="1" applyBorder="1" applyAlignment="1">
      <alignment horizontal="center" vertical="center" textRotation="90"/>
    </xf>
    <xf numFmtId="0" fontId="0" fillId="0" borderId="0" xfId="0" applyAlignment="1">
      <alignment horizontal="center" vertical="center"/>
    </xf>
  </cellXfs>
  <cellStyles count="43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ormal" xfId="0" builtinId="0"/>
    <cellStyle name="Normal 2" xfId="30" xr:uid="{00000000-0005-0000-0000-00001E000000}"/>
    <cellStyle name="Nota" xfId="31" builtinId="10" customBuiltin="1"/>
    <cellStyle name="Saída" xfId="32" builtinId="21" customBuiltin="1"/>
    <cellStyle name="Separador de milhares 2" xfId="33" xr:uid="{00000000-0005-0000-0000-000021000000}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  <cellStyle name="Vírgula" xfId="42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E6E6E6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C4C4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0">
    <tabColor indexed="43"/>
  </sheetPr>
  <dimension ref="A1:AD53"/>
  <sheetViews>
    <sheetView showGridLines="0" tabSelected="1" zoomScale="85" zoomScaleNormal="85" workbookViewId="0">
      <pane ySplit="2" topLeftCell="A27" activePane="bottomLeft" state="frozen"/>
      <selection pane="bottomLeft" activeCell="E43" sqref="E43"/>
    </sheetView>
  </sheetViews>
  <sheetFormatPr defaultRowHeight="12.75"/>
  <cols>
    <col min="1" max="1" width="8.42578125" style="1" bestFit="1" customWidth="1"/>
    <col min="2" max="2" width="40.7109375" style="1" bestFit="1" customWidth="1"/>
    <col min="3" max="3" width="14.5703125" style="1" bestFit="1" customWidth="1"/>
    <col min="4" max="4" width="12.28515625" style="1" bestFit="1" customWidth="1"/>
    <col min="5" max="5" width="9.42578125" style="1" bestFit="1" customWidth="1"/>
    <col min="6" max="6" width="26.7109375" style="1" customWidth="1"/>
    <col min="7" max="7" width="10.28515625" style="1" customWidth="1"/>
    <col min="8" max="8" width="12.28515625" style="1" bestFit="1" customWidth="1"/>
    <col min="9" max="9" width="3.28515625" style="19" bestFit="1" customWidth="1"/>
    <col min="10" max="10" width="7.85546875" style="1" customWidth="1"/>
    <col min="11" max="11" width="29.7109375" style="1" customWidth="1"/>
    <col min="12" max="12" width="23.140625" style="1" customWidth="1"/>
    <col min="13" max="13" width="12.7109375" style="1" customWidth="1"/>
    <col min="14" max="14" width="9.7109375" style="1" customWidth="1"/>
    <col min="15" max="15" width="12.42578125" style="1" customWidth="1"/>
    <col min="16" max="16" width="15.140625" style="1" customWidth="1"/>
    <col min="17" max="17" width="10.42578125" style="1" customWidth="1"/>
    <col min="18" max="18" width="13" style="1" customWidth="1"/>
    <col min="19" max="19" width="14.28515625" style="1" customWidth="1"/>
    <col min="20" max="20" width="15" style="1" customWidth="1"/>
    <col min="21" max="21" width="14" style="1" customWidth="1"/>
    <col min="22" max="23" width="8.140625" style="1" bestFit="1" customWidth="1"/>
    <col min="24" max="30" width="4.5703125" style="1" bestFit="1" customWidth="1"/>
    <col min="31" max="16384" width="9.140625" style="1"/>
  </cols>
  <sheetData>
    <row r="1" spans="1:30">
      <c r="B1" s="15" t="s">
        <v>0</v>
      </c>
      <c r="C1" s="12" t="s">
        <v>1</v>
      </c>
      <c r="D1" s="15"/>
      <c r="E1" s="15"/>
      <c r="F1" s="15"/>
      <c r="G1" s="15"/>
      <c r="H1" s="15"/>
    </row>
    <row r="2" spans="1:30" s="20" customFormat="1" ht="21.75" customHeight="1">
      <c r="A2" s="11" t="s">
        <v>2</v>
      </c>
      <c r="C2" s="12" t="s">
        <v>3</v>
      </c>
      <c r="D2" s="12" t="s">
        <v>4</v>
      </c>
      <c r="E2" s="13" t="s">
        <v>5</v>
      </c>
      <c r="F2" s="12" t="s">
        <v>6</v>
      </c>
      <c r="G2" s="13" t="s">
        <v>7</v>
      </c>
      <c r="H2" s="1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26.25" customHeight="1">
      <c r="A3" s="2"/>
      <c r="B3" s="21" t="s">
        <v>9</v>
      </c>
      <c r="C3" s="3">
        <v>940</v>
      </c>
      <c r="D3" s="4">
        <v>0.94</v>
      </c>
      <c r="E3" s="5">
        <v>8.6</v>
      </c>
      <c r="F3" s="31">
        <f>E3*D3</f>
        <v>8.0839999999999996</v>
      </c>
      <c r="G3" s="5">
        <v>8.09</v>
      </c>
      <c r="H3" s="22">
        <f>G3/D3</f>
        <v>8.6063829787234045</v>
      </c>
      <c r="I3" s="38" t="s">
        <v>10</v>
      </c>
    </row>
    <row r="4" spans="1:30" ht="15" customHeight="1">
      <c r="A4" s="2">
        <v>14</v>
      </c>
      <c r="B4" s="21" t="s">
        <v>11</v>
      </c>
      <c r="C4" s="3">
        <f>D4*1000</f>
        <v>58.3</v>
      </c>
      <c r="D4" s="4">
        <v>5.8299999999999998E-2</v>
      </c>
      <c r="E4" s="5">
        <f>(34+24+12)*5 + (29+34+35)*4</f>
        <v>742</v>
      </c>
      <c r="F4" s="31">
        <f>E4*D4</f>
        <v>43.258600000000001</v>
      </c>
      <c r="G4" s="5">
        <v>97.3</v>
      </c>
      <c r="H4" s="33">
        <f>G4/D4</f>
        <v>1668.9536878216124</v>
      </c>
      <c r="I4" s="38"/>
    </row>
    <row r="5" spans="1:30" ht="15" customHeight="1">
      <c r="A5" s="2">
        <v>10</v>
      </c>
      <c r="B5" s="21" t="s">
        <v>12</v>
      </c>
      <c r="C5" s="3">
        <f t="shared" ref="C5:C24" si="0">D5*1000</f>
        <v>92.7</v>
      </c>
      <c r="D5" s="4">
        <v>9.2700000000000005E-2</v>
      </c>
      <c r="E5" s="5">
        <v>210</v>
      </c>
      <c r="F5" s="31">
        <f t="shared" ref="F4:F5" si="1">E5*D5</f>
        <v>19.467000000000002</v>
      </c>
      <c r="G5" s="5">
        <v>1</v>
      </c>
      <c r="H5" s="22">
        <f>G5/D5</f>
        <v>10.787486515641856</v>
      </c>
      <c r="I5" s="38"/>
      <c r="P5" s="23"/>
    </row>
    <row r="6" spans="1:30" ht="15" customHeight="1">
      <c r="A6" s="2">
        <v>13</v>
      </c>
      <c r="B6" s="21" t="s">
        <v>13</v>
      </c>
      <c r="C6" s="3">
        <f t="shared" si="0"/>
        <v>147.5</v>
      </c>
      <c r="D6" s="4">
        <v>0.14749999999999999</v>
      </c>
      <c r="E6" s="5">
        <v>268</v>
      </c>
      <c r="F6" s="31">
        <f>E6*D6</f>
        <v>39.53</v>
      </c>
      <c r="G6" s="5">
        <v>7.92</v>
      </c>
      <c r="H6" s="22">
        <f>G6/D6</f>
        <v>53.694915254237287</v>
      </c>
      <c r="I6" s="38"/>
    </row>
    <row r="7" spans="1:30" ht="15" customHeight="1">
      <c r="A7" s="6" t="s">
        <v>14</v>
      </c>
      <c r="B7" s="21" t="s">
        <v>15</v>
      </c>
      <c r="C7" s="3">
        <f t="shared" si="0"/>
        <v>295.59999999999997</v>
      </c>
      <c r="D7" s="4">
        <v>0.29559999999999997</v>
      </c>
      <c r="E7" s="5">
        <v>1</v>
      </c>
      <c r="F7" s="31">
        <f t="shared" ref="F4:F41" si="2">E7*D7</f>
        <v>0.29559999999999997</v>
      </c>
      <c r="G7" s="5">
        <v>41</v>
      </c>
      <c r="H7" s="22">
        <f>G7/D7</f>
        <v>138.70094722598105</v>
      </c>
      <c r="I7" s="38"/>
      <c r="K7" s="34"/>
      <c r="P7" s="23"/>
    </row>
    <row r="8" spans="1:30" ht="15" customHeight="1">
      <c r="A8" s="6" t="s">
        <v>14</v>
      </c>
      <c r="B8" s="21" t="s">
        <v>16</v>
      </c>
      <c r="C8" s="3">
        <f t="shared" si="0"/>
        <v>470</v>
      </c>
      <c r="D8" s="4">
        <v>0.47</v>
      </c>
      <c r="E8" s="5">
        <v>1</v>
      </c>
      <c r="F8" s="31">
        <f>E8*D8</f>
        <v>0.47</v>
      </c>
      <c r="G8" s="5">
        <v>2</v>
      </c>
      <c r="H8" s="22">
        <f>G8/D8</f>
        <v>4.2553191489361701</v>
      </c>
      <c r="I8" s="38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</row>
    <row r="9" spans="1:30" ht="15" customHeight="1">
      <c r="A9" s="6" t="s">
        <v>14</v>
      </c>
      <c r="B9" s="21" t="s">
        <v>17</v>
      </c>
      <c r="C9" s="3">
        <f t="shared" si="0"/>
        <v>666.4</v>
      </c>
      <c r="D9" s="4">
        <v>0.66639999999999999</v>
      </c>
      <c r="E9" s="5">
        <v>1</v>
      </c>
      <c r="F9" s="31">
        <f t="shared" si="2"/>
        <v>0.66639999999999999</v>
      </c>
      <c r="G9" s="5">
        <v>12</v>
      </c>
      <c r="H9" s="22">
        <f>G9/D9</f>
        <v>18.007202881152462</v>
      </c>
      <c r="I9" s="38"/>
      <c r="K9" s="35"/>
      <c r="P9" s="23"/>
    </row>
    <row r="10" spans="1:30" ht="15" customHeight="1">
      <c r="A10" s="2">
        <v>2.56</v>
      </c>
      <c r="B10" s="21" t="s">
        <v>18</v>
      </c>
      <c r="C10" s="3">
        <f>D10*1000</f>
        <v>84.998000000000005</v>
      </c>
      <c r="D10" s="4">
        <v>8.4998000000000004E-2</v>
      </c>
      <c r="E10" s="7">
        <f>42*3</f>
        <v>126</v>
      </c>
      <c r="F10" s="31">
        <f t="shared" si="2"/>
        <v>10.709748000000001</v>
      </c>
      <c r="G10" s="5">
        <v>5.56</v>
      </c>
      <c r="H10" s="22">
        <f>G10/D10</f>
        <v>65.413303842443341</v>
      </c>
      <c r="I10" s="38"/>
      <c r="K10" s="36"/>
      <c r="P10" s="23"/>
    </row>
    <row r="11" spans="1:30" ht="15" customHeight="1">
      <c r="A11" s="2">
        <v>1.1000000000000001</v>
      </c>
      <c r="B11" s="21" t="s">
        <v>19</v>
      </c>
      <c r="C11" s="3">
        <f t="shared" si="0"/>
        <v>135.80000000000001</v>
      </c>
      <c r="D11" s="4">
        <v>0.1358</v>
      </c>
      <c r="E11" s="7">
        <f>(12+24)*3</f>
        <v>108</v>
      </c>
      <c r="F11" s="31">
        <f t="shared" si="2"/>
        <v>14.666400000000001</v>
      </c>
      <c r="G11" s="8">
        <v>6</v>
      </c>
      <c r="H11" s="22">
        <f>G11/D11</f>
        <v>44.18262150220913</v>
      </c>
      <c r="I11" s="38"/>
      <c r="K11" s="35"/>
    </row>
    <row r="12" spans="1:30" ht="15" customHeight="1">
      <c r="A12" s="2">
        <v>3</v>
      </c>
      <c r="B12" s="21" t="s">
        <v>20</v>
      </c>
      <c r="C12" s="3">
        <f t="shared" si="0"/>
        <v>216.20000000000002</v>
      </c>
      <c r="D12" s="4">
        <v>0.2162</v>
      </c>
      <c r="E12" s="5">
        <f>43*3</f>
        <v>129</v>
      </c>
      <c r="F12" s="31">
        <f t="shared" si="2"/>
        <v>27.889800000000001</v>
      </c>
      <c r="G12" s="5">
        <v>2.31</v>
      </c>
      <c r="H12" s="22">
        <f>G12/D12</f>
        <v>10.684551341350602</v>
      </c>
      <c r="I12" s="38"/>
      <c r="K12" s="35"/>
    </row>
    <row r="13" spans="1:30" ht="15" customHeight="1">
      <c r="A13" s="6" t="s">
        <v>14</v>
      </c>
      <c r="B13" s="21" t="s">
        <v>21</v>
      </c>
      <c r="C13" s="3">
        <f t="shared" si="0"/>
        <v>272</v>
      </c>
      <c r="D13" s="4">
        <v>0.27200000000000002</v>
      </c>
      <c r="E13" s="5">
        <v>165</v>
      </c>
      <c r="F13" s="31">
        <f>E13*D13</f>
        <v>44.88</v>
      </c>
      <c r="G13" s="5">
        <v>45</v>
      </c>
      <c r="H13" s="22">
        <f>G13/D13</f>
        <v>165.44117647058823</v>
      </c>
      <c r="I13" s="38"/>
    </row>
    <row r="14" spans="1:30" ht="15" customHeight="1">
      <c r="A14" s="2">
        <v>8</v>
      </c>
      <c r="B14" s="21" t="s">
        <v>22</v>
      </c>
      <c r="C14" s="3">
        <f t="shared" si="0"/>
        <v>433.40000000000003</v>
      </c>
      <c r="D14" s="4">
        <v>0.43340000000000001</v>
      </c>
      <c r="E14" s="5">
        <v>88.42</v>
      </c>
      <c r="F14" s="31">
        <f t="shared" si="2"/>
        <v>38.321227999999998</v>
      </c>
      <c r="G14" s="7">
        <v>40.93</v>
      </c>
      <c r="H14" s="22">
        <f>G14/D14</f>
        <v>94.439317028149517</v>
      </c>
      <c r="I14" s="38"/>
    </row>
    <row r="15" spans="1:30" ht="15" customHeight="1">
      <c r="A15" s="6" t="s">
        <v>14</v>
      </c>
      <c r="B15" s="21" t="s">
        <v>23</v>
      </c>
      <c r="C15" s="3">
        <f t="shared" si="0"/>
        <v>546.79999999999995</v>
      </c>
      <c r="D15" s="4">
        <v>0.54679999999999995</v>
      </c>
      <c r="E15" s="5">
        <v>1</v>
      </c>
      <c r="F15" s="31">
        <f>E15*D15</f>
        <v>0.54679999999999995</v>
      </c>
      <c r="G15" s="5">
        <v>35.94</v>
      </c>
      <c r="H15" s="22">
        <f>G15/D15</f>
        <v>65.727871250914419</v>
      </c>
      <c r="I15" s="38"/>
    </row>
    <row r="16" spans="1:30" ht="15" customHeight="1">
      <c r="A16" s="2">
        <v>2832</v>
      </c>
      <c r="B16" s="21" t="s">
        <v>24</v>
      </c>
      <c r="C16" s="3">
        <f t="shared" si="0"/>
        <v>689.8</v>
      </c>
      <c r="D16" s="4">
        <v>0.68979999999999997</v>
      </c>
      <c r="E16" s="5">
        <v>609</v>
      </c>
      <c r="F16" s="31">
        <f t="shared" si="2"/>
        <v>420.08819999999997</v>
      </c>
      <c r="G16" s="5">
        <v>81.13</v>
      </c>
      <c r="H16" s="22">
        <f>G16/D16</f>
        <v>117.61380110176863</v>
      </c>
      <c r="I16" s="38"/>
    </row>
    <row r="17" spans="1:12" ht="15" customHeight="1">
      <c r="A17" s="2">
        <v>47</v>
      </c>
      <c r="B17" s="21" t="s">
        <v>25</v>
      </c>
      <c r="C17" s="3">
        <f>D17*1000</f>
        <v>118.2</v>
      </c>
      <c r="D17" s="4">
        <v>0.1182</v>
      </c>
      <c r="E17" s="5">
        <v>375</v>
      </c>
      <c r="F17" s="31">
        <f>E17*D17</f>
        <v>44.325000000000003</v>
      </c>
      <c r="G17" s="5">
        <v>23</v>
      </c>
      <c r="H17" s="22">
        <f>G17/D17</f>
        <v>194.58544839255498</v>
      </c>
      <c r="I17" s="38"/>
    </row>
    <row r="18" spans="1:12" ht="15" customHeight="1">
      <c r="A18" s="32">
        <v>48</v>
      </c>
      <c r="B18" s="21" t="s">
        <v>26</v>
      </c>
      <c r="C18" s="3">
        <v>88</v>
      </c>
      <c r="D18" s="4">
        <v>8.7999999999999995E-2</v>
      </c>
      <c r="E18" s="5">
        <v>1350</v>
      </c>
      <c r="F18" s="31">
        <f t="shared" si="2"/>
        <v>118.8</v>
      </c>
      <c r="G18" s="5">
        <v>38</v>
      </c>
      <c r="H18" s="33">
        <f>G18/D18</f>
        <v>431.81818181818187</v>
      </c>
      <c r="I18" s="38"/>
    </row>
    <row r="19" spans="1:12" ht="15" customHeight="1">
      <c r="A19" s="6" t="s">
        <v>14</v>
      </c>
      <c r="B19" s="21" t="s">
        <v>27</v>
      </c>
      <c r="C19" s="3">
        <f t="shared" si="0"/>
        <v>146.19999999999999</v>
      </c>
      <c r="D19" s="4">
        <v>0.1462</v>
      </c>
      <c r="E19" s="5">
        <v>618</v>
      </c>
      <c r="F19" s="31">
        <f>E19*D19</f>
        <v>90.351600000000005</v>
      </c>
      <c r="G19" s="5">
        <v>15</v>
      </c>
      <c r="H19" s="22">
        <f>G19/D19</f>
        <v>102.59917920656635</v>
      </c>
      <c r="I19" s="38"/>
    </row>
    <row r="20" spans="1:12" ht="15" customHeight="1">
      <c r="A20" s="2">
        <v>27</v>
      </c>
      <c r="B20" s="21" t="s">
        <v>28</v>
      </c>
      <c r="C20" s="3">
        <f t="shared" si="0"/>
        <v>192</v>
      </c>
      <c r="D20" s="4">
        <v>0.192</v>
      </c>
      <c r="E20" s="5">
        <v>810</v>
      </c>
      <c r="F20" s="31">
        <v>18.5</v>
      </c>
      <c r="G20" s="5">
        <v>8.64</v>
      </c>
      <c r="H20" s="22">
        <f>G20/D20</f>
        <v>45</v>
      </c>
      <c r="I20" s="38"/>
    </row>
    <row r="21" spans="1:12" s="29" customFormat="1" ht="15" customHeight="1">
      <c r="A21" s="25">
        <v>28</v>
      </c>
      <c r="B21" s="26" t="s">
        <v>29</v>
      </c>
      <c r="C21" s="27">
        <f t="shared" si="0"/>
        <v>305</v>
      </c>
      <c r="D21" s="28">
        <v>0.30499999999999999</v>
      </c>
      <c r="E21" s="30">
        <v>26.5</v>
      </c>
      <c r="F21" s="31">
        <f t="shared" si="2"/>
        <v>8.0824999999999996</v>
      </c>
      <c r="G21" s="30">
        <v>39.340000000000003</v>
      </c>
      <c r="H21" s="33">
        <f>G21/D21</f>
        <v>128.98360655737707</v>
      </c>
      <c r="I21" s="38"/>
    </row>
    <row r="22" spans="1:12" ht="15" customHeight="1">
      <c r="A22" s="2">
        <v>29</v>
      </c>
      <c r="B22" s="21" t="s">
        <v>30</v>
      </c>
      <c r="C22" s="3">
        <f t="shared" si="0"/>
        <v>485</v>
      </c>
      <c r="D22" s="4">
        <v>0.48499999999999999</v>
      </c>
      <c r="E22" s="5">
        <v>24</v>
      </c>
      <c r="F22" s="31">
        <f t="shared" si="2"/>
        <v>11.64</v>
      </c>
      <c r="G22" s="5">
        <v>11.64</v>
      </c>
      <c r="H22" s="22">
        <f>G22/D22</f>
        <v>24.000000000000004</v>
      </c>
      <c r="I22" s="38"/>
    </row>
    <row r="23" spans="1:12" ht="15" customHeight="1">
      <c r="A23" s="6" t="s">
        <v>14</v>
      </c>
      <c r="B23" s="21" t="s">
        <v>31</v>
      </c>
      <c r="C23" s="3">
        <f t="shared" si="0"/>
        <v>612</v>
      </c>
      <c r="D23" s="4">
        <v>0.61199999999999999</v>
      </c>
      <c r="E23" s="5">
        <v>810</v>
      </c>
      <c r="F23" s="31">
        <f>E23*D23</f>
        <v>495.71999999999997</v>
      </c>
      <c r="G23" s="5">
        <v>248</v>
      </c>
      <c r="H23" s="22">
        <f>G23/D23</f>
        <v>405.22875816993462</v>
      </c>
      <c r="I23" s="38"/>
    </row>
    <row r="24" spans="1:12" ht="15" customHeight="1">
      <c r="A24" s="6" t="s">
        <v>14</v>
      </c>
      <c r="B24" s="21" t="s">
        <v>32</v>
      </c>
      <c r="C24" s="3">
        <f t="shared" si="0"/>
        <v>972</v>
      </c>
      <c r="D24" s="4">
        <v>0.97199999999999998</v>
      </c>
      <c r="E24" s="5">
        <v>810</v>
      </c>
      <c r="F24" s="31">
        <f t="shared" si="2"/>
        <v>787.31999999999994</v>
      </c>
      <c r="G24" s="5">
        <v>340</v>
      </c>
      <c r="H24" s="22">
        <f>G24/D24</f>
        <v>349.79423868312756</v>
      </c>
      <c r="I24" s="38"/>
    </row>
    <row r="25" spans="1:12" ht="15" customHeight="1">
      <c r="A25" s="2">
        <v>2831</v>
      </c>
      <c r="B25" s="24" t="s">
        <v>33</v>
      </c>
      <c r="C25" s="3">
        <v>38</v>
      </c>
      <c r="D25" s="4">
        <v>0.38</v>
      </c>
      <c r="E25" s="5">
        <v>1</v>
      </c>
      <c r="F25" s="31">
        <f t="shared" si="2"/>
        <v>0.38</v>
      </c>
      <c r="G25" s="5">
        <v>1</v>
      </c>
      <c r="H25" s="22">
        <f>G25/D25</f>
        <v>2.6315789473684212</v>
      </c>
      <c r="I25" s="38"/>
    </row>
    <row r="26" spans="1:12" ht="15" customHeight="1">
      <c r="A26" s="2">
        <v>2820</v>
      </c>
      <c r="B26" s="24" t="s">
        <v>34</v>
      </c>
      <c r="C26" s="3">
        <v>50</v>
      </c>
      <c r="D26" s="4">
        <v>0.5</v>
      </c>
      <c r="E26" s="5">
        <v>1</v>
      </c>
      <c r="F26" s="31">
        <f t="shared" si="2"/>
        <v>0.5</v>
      </c>
      <c r="G26" s="5">
        <v>1</v>
      </c>
      <c r="H26" s="22">
        <f>G26/D26</f>
        <v>2</v>
      </c>
      <c r="I26" s="38"/>
    </row>
    <row r="27" spans="1:12" ht="15" customHeight="1">
      <c r="A27" s="2">
        <v>2821</v>
      </c>
      <c r="B27" s="24" t="s">
        <v>35</v>
      </c>
      <c r="C27" s="3">
        <v>95</v>
      </c>
      <c r="D27" s="4">
        <v>0.95</v>
      </c>
      <c r="E27" s="5">
        <v>1</v>
      </c>
      <c r="F27" s="31">
        <f t="shared" si="2"/>
        <v>0.95</v>
      </c>
      <c r="G27" s="5">
        <v>1</v>
      </c>
      <c r="H27" s="22">
        <f>G27/D27</f>
        <v>1.0526315789473684</v>
      </c>
      <c r="I27" s="38"/>
    </row>
    <row r="28" spans="1:12" ht="15" customHeight="1">
      <c r="A28" s="2">
        <v>2822</v>
      </c>
      <c r="B28" s="24" t="s">
        <v>36</v>
      </c>
      <c r="C28" s="3">
        <v>153</v>
      </c>
      <c r="D28" s="4">
        <v>1.53</v>
      </c>
      <c r="E28" s="5">
        <v>1</v>
      </c>
      <c r="F28" s="31">
        <f t="shared" si="2"/>
        <v>1.53</v>
      </c>
      <c r="G28" s="5">
        <v>1</v>
      </c>
      <c r="H28" s="22">
        <f>G28/D28</f>
        <v>0.65359477124183007</v>
      </c>
      <c r="I28" s="38"/>
    </row>
    <row r="29" spans="1:12" ht="15" customHeight="1">
      <c r="A29" s="2">
        <v>2825</v>
      </c>
      <c r="B29" s="24" t="s">
        <v>37</v>
      </c>
      <c r="C29" s="3">
        <v>16.5</v>
      </c>
      <c r="D29" s="4">
        <v>0.16500000000000001</v>
      </c>
      <c r="E29" s="5">
        <v>1</v>
      </c>
      <c r="F29" s="31">
        <f t="shared" si="2"/>
        <v>0.16500000000000001</v>
      </c>
      <c r="G29" s="5">
        <v>1</v>
      </c>
      <c r="H29" s="22">
        <f>G29/D29</f>
        <v>6.0606060606060606</v>
      </c>
      <c r="I29" s="38"/>
    </row>
    <row r="30" spans="1:12" ht="15" customHeight="1">
      <c r="A30" s="2">
        <v>2828</v>
      </c>
      <c r="B30" s="24" t="s">
        <v>38</v>
      </c>
      <c r="C30" s="3">
        <v>24.33</v>
      </c>
      <c r="D30" s="4">
        <v>0.24329999999999999</v>
      </c>
      <c r="E30" s="5">
        <v>1</v>
      </c>
      <c r="F30" s="31">
        <f t="shared" si="2"/>
        <v>0.24329999999999999</v>
      </c>
      <c r="G30" s="5">
        <v>1</v>
      </c>
      <c r="H30" s="22">
        <f>G30/D30</f>
        <v>4.1101520756267984</v>
      </c>
      <c r="I30" s="38"/>
      <c r="L30" s="34"/>
    </row>
    <row r="31" spans="1:12" ht="15" customHeight="1">
      <c r="A31" s="2">
        <v>2838</v>
      </c>
      <c r="B31" s="24" t="s">
        <v>39</v>
      </c>
      <c r="C31" s="3">
        <v>62.8</v>
      </c>
      <c r="D31" s="4">
        <v>0.628</v>
      </c>
      <c r="E31" s="5">
        <v>1</v>
      </c>
      <c r="F31" s="31">
        <f t="shared" si="2"/>
        <v>0.628</v>
      </c>
      <c r="G31" s="5">
        <v>1</v>
      </c>
      <c r="H31" s="22">
        <f>G31/D31</f>
        <v>1.5923566878980893</v>
      </c>
      <c r="I31" s="38"/>
    </row>
    <row r="32" spans="1:12" ht="15" customHeight="1">
      <c r="A32" s="2">
        <v>2818</v>
      </c>
      <c r="B32" s="24" t="s">
        <v>40</v>
      </c>
      <c r="C32" s="3">
        <v>36</v>
      </c>
      <c r="D32" s="4">
        <v>0.36</v>
      </c>
      <c r="E32" s="5">
        <v>1</v>
      </c>
      <c r="F32" s="31">
        <f t="shared" si="2"/>
        <v>0.36</v>
      </c>
      <c r="G32" s="5">
        <v>1</v>
      </c>
      <c r="H32" s="22">
        <f>G32/D32</f>
        <v>2.7777777777777777</v>
      </c>
      <c r="I32" s="38"/>
    </row>
    <row r="33" spans="1:12" ht="15" customHeight="1">
      <c r="A33" s="2">
        <v>2819</v>
      </c>
      <c r="B33" s="24" t="s">
        <v>41</v>
      </c>
      <c r="C33" s="3">
        <v>67</v>
      </c>
      <c r="D33" s="4">
        <v>0.67</v>
      </c>
      <c r="E33" s="5">
        <v>1</v>
      </c>
      <c r="F33" s="31">
        <f t="shared" si="2"/>
        <v>0.67</v>
      </c>
      <c r="G33" s="5">
        <v>1</v>
      </c>
      <c r="H33" s="22">
        <f>G33/D33</f>
        <v>1.4925373134328357</v>
      </c>
      <c r="I33" s="38"/>
    </row>
    <row r="34" spans="1:12" ht="15" customHeight="1">
      <c r="A34" s="2">
        <v>2824</v>
      </c>
      <c r="B34" s="24" t="s">
        <v>42</v>
      </c>
      <c r="C34" s="3">
        <v>12</v>
      </c>
      <c r="D34" s="4">
        <v>0.12</v>
      </c>
      <c r="E34" s="5">
        <v>1</v>
      </c>
      <c r="F34" s="31">
        <f t="shared" si="2"/>
        <v>0.12</v>
      </c>
      <c r="G34" s="5">
        <v>1</v>
      </c>
      <c r="H34" s="22">
        <f>G34/D34</f>
        <v>8.3333333333333339</v>
      </c>
      <c r="I34" s="38"/>
    </row>
    <row r="35" spans="1:12" ht="15" customHeight="1">
      <c r="A35" s="2">
        <v>2827</v>
      </c>
      <c r="B35" s="24" t="s">
        <v>43</v>
      </c>
      <c r="C35" s="3">
        <v>17.29</v>
      </c>
      <c r="D35" s="4">
        <v>0.1729</v>
      </c>
      <c r="E35" s="5">
        <v>1</v>
      </c>
      <c r="F35" s="31">
        <f t="shared" si="2"/>
        <v>0.1729</v>
      </c>
      <c r="G35" s="5">
        <v>1</v>
      </c>
      <c r="H35" s="22">
        <f>G35/D35</f>
        <v>5.78368999421631</v>
      </c>
      <c r="I35" s="38"/>
    </row>
    <row r="36" spans="1:12" ht="15" customHeight="1">
      <c r="A36" s="2">
        <v>2830</v>
      </c>
      <c r="B36" s="24" t="s">
        <v>44</v>
      </c>
      <c r="C36" s="3">
        <v>27.5</v>
      </c>
      <c r="D36" s="4">
        <v>0.27500000000000002</v>
      </c>
      <c r="E36" s="5">
        <v>1</v>
      </c>
      <c r="F36" s="31">
        <f t="shared" si="2"/>
        <v>0.27500000000000002</v>
      </c>
      <c r="G36" s="5">
        <v>1</v>
      </c>
      <c r="H36" s="22">
        <f>G36/D36</f>
        <v>3.6363636363636362</v>
      </c>
      <c r="I36" s="38"/>
    </row>
    <row r="37" spans="1:12" ht="15" customHeight="1">
      <c r="A37" s="2">
        <v>2826</v>
      </c>
      <c r="B37" s="24" t="s">
        <v>45</v>
      </c>
      <c r="C37" s="3">
        <v>11.5</v>
      </c>
      <c r="D37" s="4">
        <v>0.115</v>
      </c>
      <c r="E37" s="5">
        <v>1</v>
      </c>
      <c r="F37" s="31">
        <f t="shared" si="2"/>
        <v>0.115</v>
      </c>
      <c r="G37" s="5">
        <v>1</v>
      </c>
      <c r="H37" s="22">
        <f>G37/D37</f>
        <v>8.695652173913043</v>
      </c>
      <c r="I37" s="38"/>
    </row>
    <row r="38" spans="1:12" ht="15" customHeight="1">
      <c r="A38" s="2">
        <v>2829</v>
      </c>
      <c r="B38" s="24" t="s">
        <v>46</v>
      </c>
      <c r="C38" s="3">
        <v>17</v>
      </c>
      <c r="D38" s="4">
        <v>0.17</v>
      </c>
      <c r="E38" s="5">
        <v>1</v>
      </c>
      <c r="F38" s="31">
        <f t="shared" si="2"/>
        <v>0.17</v>
      </c>
      <c r="G38" s="5">
        <v>1</v>
      </c>
      <c r="H38" s="22">
        <f>G38/D38</f>
        <v>5.8823529411764701</v>
      </c>
      <c r="I38" s="38"/>
      <c r="L38" s="34"/>
    </row>
    <row r="39" spans="1:12" ht="15" customHeight="1">
      <c r="A39" s="2">
        <v>2823</v>
      </c>
      <c r="B39" s="24" t="s">
        <v>47</v>
      </c>
      <c r="C39" s="3">
        <v>7.4</v>
      </c>
      <c r="D39" s="4">
        <v>7.3999999999999996E-2</v>
      </c>
      <c r="E39" s="5">
        <v>1</v>
      </c>
      <c r="F39" s="31">
        <f>E39*D39</f>
        <v>7.3999999999999996E-2</v>
      </c>
      <c r="G39" s="5">
        <v>1</v>
      </c>
      <c r="H39" s="22">
        <f>G39/D39</f>
        <v>13.513513513513514</v>
      </c>
      <c r="I39" s="38"/>
    </row>
    <row r="40" spans="1:12" ht="15" customHeight="1">
      <c r="A40" s="2">
        <v>2843</v>
      </c>
      <c r="B40" s="24" t="s">
        <v>48</v>
      </c>
      <c r="C40" s="3">
        <v>16.3</v>
      </c>
      <c r="D40" s="4">
        <v>0.16300000000000001</v>
      </c>
      <c r="E40" s="5">
        <v>1</v>
      </c>
      <c r="F40" s="31">
        <f>E40*D40</f>
        <v>0.16300000000000001</v>
      </c>
      <c r="G40" s="5">
        <v>119</v>
      </c>
      <c r="H40" s="22">
        <f>G40/D40</f>
        <v>730.06134969325149</v>
      </c>
      <c r="I40" s="38"/>
    </row>
    <row r="41" spans="1:12" ht="15" customHeight="1">
      <c r="A41" s="2">
        <v>40</v>
      </c>
      <c r="B41" s="24" t="s">
        <v>49</v>
      </c>
      <c r="C41" s="3">
        <v>5</v>
      </c>
      <c r="D41" s="4">
        <v>0.05</v>
      </c>
      <c r="E41" s="5">
        <v>30</v>
      </c>
      <c r="F41" s="31">
        <f t="shared" si="2"/>
        <v>1.5</v>
      </c>
      <c r="G41" s="5">
        <v>1</v>
      </c>
      <c r="H41" s="22">
        <f>G41/D41</f>
        <v>20</v>
      </c>
      <c r="I41" s="38"/>
    </row>
    <row r="42" spans="1:12">
      <c r="A42" s="2">
        <v>38</v>
      </c>
      <c r="B42" s="24" t="s">
        <v>50</v>
      </c>
      <c r="C42" s="3">
        <v>406</v>
      </c>
      <c r="D42" s="4">
        <v>0.40600000000000003</v>
      </c>
      <c r="E42" s="5">
        <f>12</f>
        <v>12</v>
      </c>
      <c r="F42" s="31">
        <f t="shared" ref="F42:G47" si="3">E42*D42</f>
        <v>4.8719999999999999</v>
      </c>
      <c r="G42" s="5">
        <v>37.700000000000003</v>
      </c>
      <c r="H42" s="22">
        <f>G42/D42</f>
        <v>92.857142857142861</v>
      </c>
      <c r="I42" s="38"/>
    </row>
    <row r="43" spans="1:12">
      <c r="A43" s="2">
        <v>37</v>
      </c>
      <c r="B43" s="24" t="s">
        <v>51</v>
      </c>
      <c r="C43" s="3">
        <v>180</v>
      </c>
      <c r="D43" s="4">
        <v>0.18</v>
      </c>
      <c r="E43" s="5">
        <v>1</v>
      </c>
      <c r="F43" s="31">
        <f t="shared" si="3"/>
        <v>0.18</v>
      </c>
      <c r="G43" s="5">
        <v>1</v>
      </c>
      <c r="H43" s="22">
        <f>G43/D43</f>
        <v>5.5555555555555554</v>
      </c>
      <c r="I43" s="38"/>
    </row>
    <row r="44" spans="1:12" ht="12.75" customHeight="1">
      <c r="A44" s="2">
        <v>91</v>
      </c>
      <c r="B44" s="24" t="s">
        <v>52</v>
      </c>
      <c r="C44" s="3">
        <v>95</v>
      </c>
      <c r="D44" s="4">
        <v>9.5000000000000001E-2</v>
      </c>
      <c r="E44" s="5">
        <v>50</v>
      </c>
      <c r="F44" s="31">
        <f t="shared" si="3"/>
        <v>4.75</v>
      </c>
      <c r="G44" s="5">
        <v>1</v>
      </c>
      <c r="H44" s="22">
        <f>G44/D44</f>
        <v>10.526315789473685</v>
      </c>
      <c r="I44" s="38"/>
    </row>
    <row r="45" spans="1:12">
      <c r="A45" s="2">
        <v>90266</v>
      </c>
      <c r="B45" s="24" t="s">
        <v>53</v>
      </c>
      <c r="C45" s="3">
        <v>235</v>
      </c>
      <c r="D45" s="4">
        <v>0.23499999999999999</v>
      </c>
      <c r="E45" s="5">
        <f>19*3</f>
        <v>57</v>
      </c>
      <c r="F45" s="31">
        <f>E45*D45</f>
        <v>13.395</v>
      </c>
      <c r="G45" s="5">
        <v>21</v>
      </c>
      <c r="H45" s="22">
        <f>G45/D45</f>
        <v>89.361702127659584</v>
      </c>
      <c r="I45" s="38"/>
    </row>
    <row r="46" spans="1:12" ht="12.75" customHeight="1">
      <c r="A46" s="2">
        <v>90267</v>
      </c>
      <c r="B46" s="24" t="s">
        <v>54</v>
      </c>
      <c r="C46" s="3">
        <v>500</v>
      </c>
      <c r="D46" s="4">
        <v>0.5</v>
      </c>
      <c r="E46" s="5">
        <v>1</v>
      </c>
      <c r="F46" s="31">
        <f t="shared" si="3"/>
        <v>0.5</v>
      </c>
      <c r="G46" s="5">
        <v>1</v>
      </c>
      <c r="H46" s="22">
        <f>G46/D46</f>
        <v>2</v>
      </c>
      <c r="I46" s="38"/>
    </row>
    <row r="47" spans="1:12">
      <c r="A47" s="2">
        <v>90268</v>
      </c>
      <c r="B47" s="24" t="s">
        <v>55</v>
      </c>
      <c r="C47" s="3">
        <v>695</v>
      </c>
      <c r="D47" s="4">
        <v>0.69499999999999995</v>
      </c>
      <c r="E47" s="5">
        <v>1</v>
      </c>
      <c r="F47" s="31">
        <f t="shared" si="3"/>
        <v>0.69499999999999995</v>
      </c>
      <c r="G47" s="5">
        <v>1</v>
      </c>
      <c r="H47" s="22">
        <f>G47/D47</f>
        <v>1.4388489208633095</v>
      </c>
      <c r="I47" s="38"/>
    </row>
    <row r="48" spans="1:12" ht="12.75" customHeight="1">
      <c r="A48" s="2">
        <v>90703</v>
      </c>
      <c r="B48" s="21" t="s">
        <v>56</v>
      </c>
      <c r="C48" s="3">
        <v>146.80000000000001</v>
      </c>
      <c r="D48" s="4">
        <v>0.14680000000000001</v>
      </c>
      <c r="E48" s="5">
        <f>(43)*3</f>
        <v>129</v>
      </c>
      <c r="F48" s="31">
        <f>E48*D48</f>
        <v>18.937200000000001</v>
      </c>
      <c r="G48" s="5">
        <v>12</v>
      </c>
      <c r="H48" s="22">
        <f>G48/D48</f>
        <v>81.743869209809262</v>
      </c>
      <c r="I48" s="38"/>
    </row>
    <row r="49" spans="1:9" ht="12.75" customHeight="1">
      <c r="A49" s="9">
        <v>2867</v>
      </c>
      <c r="B49" s="10" t="s">
        <v>57</v>
      </c>
      <c r="C49" s="10">
        <f>1000*2.74</f>
        <v>2740</v>
      </c>
      <c r="D49" s="10">
        <v>2.74</v>
      </c>
      <c r="E49" s="5">
        <v>1344</v>
      </c>
      <c r="F49" s="31">
        <f>E49*D49</f>
        <v>3682.5600000000004</v>
      </c>
      <c r="G49" s="5">
        <v>248</v>
      </c>
      <c r="H49" s="22">
        <f>G49/D49</f>
        <v>90.510948905109487</v>
      </c>
      <c r="I49" s="38"/>
    </row>
    <row r="50" spans="1:9">
      <c r="A50" s="9">
        <v>90946</v>
      </c>
      <c r="B50" s="10" t="s">
        <v>58</v>
      </c>
      <c r="C50" s="10"/>
      <c r="D50" s="10">
        <v>1.1379999999999999</v>
      </c>
      <c r="E50" s="5">
        <v>48</v>
      </c>
      <c r="F50" s="31">
        <f>E50*D50</f>
        <v>54.623999999999995</v>
      </c>
      <c r="G50" s="5">
        <v>340</v>
      </c>
      <c r="H50" s="22">
        <f>G50/D50</f>
        <v>298.76977152899826</v>
      </c>
      <c r="I50" s="38"/>
    </row>
    <row r="51" spans="1:9">
      <c r="A51" s="9">
        <v>90704</v>
      </c>
      <c r="B51" s="10" t="s">
        <v>59</v>
      </c>
      <c r="C51" s="10">
        <v>294.7</v>
      </c>
      <c r="D51" s="10">
        <v>0.29470000000000002</v>
      </c>
      <c r="E51" s="5">
        <v>35</v>
      </c>
      <c r="F51" s="31">
        <f t="shared" ref="F51:F53" si="4">E51*D51</f>
        <v>10.314500000000001</v>
      </c>
      <c r="G51" s="5">
        <v>1.8</v>
      </c>
      <c r="H51" s="33">
        <f>G51/D51</f>
        <v>6.1079063454360361</v>
      </c>
      <c r="I51" s="38"/>
    </row>
    <row r="52" spans="1:9">
      <c r="A52" s="16">
        <v>4.71</v>
      </c>
      <c r="B52" s="17" t="s">
        <v>60</v>
      </c>
      <c r="C52" s="17">
        <v>92</v>
      </c>
      <c r="D52" s="17">
        <v>9.2764378478664006E-2</v>
      </c>
      <c r="E52" s="37">
        <v>27</v>
      </c>
      <c r="F52" s="31">
        <f t="shared" si="4"/>
        <v>2.5046382189239282</v>
      </c>
      <c r="G52" s="18">
        <v>21.55</v>
      </c>
      <c r="H52" s="33">
        <f>G52/D52</f>
        <v>232.30900000000048</v>
      </c>
      <c r="I52" s="38"/>
    </row>
    <row r="53" spans="1:9">
      <c r="A53" s="10">
        <v>90705</v>
      </c>
      <c r="B53" s="10" t="s">
        <v>61</v>
      </c>
      <c r="C53" s="10">
        <f>D53*1000</f>
        <v>487.3</v>
      </c>
      <c r="D53" s="10">
        <v>0.48730000000000001</v>
      </c>
      <c r="E53" s="10">
        <v>582</v>
      </c>
      <c r="F53" s="31">
        <f t="shared" si="4"/>
        <v>283.60860000000002</v>
      </c>
      <c r="G53" s="5">
        <v>11</v>
      </c>
      <c r="H53" s="10">
        <f t="shared" ref="H53" si="5">G53/D53</f>
        <v>22.57336343115124</v>
      </c>
    </row>
  </sheetData>
  <sheetProtection selectLockedCells="1"/>
  <protectedRanges>
    <protectedRange password="CF7A" sqref="E3:E52 G3:G53" name="Intervalo1"/>
  </protectedRanges>
  <autoFilter ref="A1:I53" xr:uid="{00000000-0001-0000-0000-000000000000}"/>
  <mergeCells count="1">
    <mergeCell ref="I3:I52"/>
  </mergeCells>
  <phoneticPr fontId="0" type="noConversion"/>
  <pageMargins left="0.78749999999999998" right="0.78749999999999998" top="0.59027777777777779" bottom="0.59027777777777779" header="0.51180555555555562" footer="0.51180555555555562"/>
  <pageSetup paperSize="9" firstPageNumber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5:G25"/>
  <sheetViews>
    <sheetView workbookViewId="0">
      <selection activeCell="F6" sqref="F6:F11"/>
    </sheetView>
  </sheetViews>
  <sheetFormatPr defaultRowHeight="12.75"/>
  <cols>
    <col min="4" max="4" width="11" bestFit="1" customWidth="1"/>
  </cols>
  <sheetData>
    <row r="5" spans="3:7">
      <c r="D5" t="s">
        <v>62</v>
      </c>
    </row>
    <row r="6" spans="3:7">
      <c r="C6">
        <v>90389</v>
      </c>
      <c r="D6" t="s">
        <v>63</v>
      </c>
      <c r="E6">
        <v>4</v>
      </c>
      <c r="F6" s="39">
        <v>1</v>
      </c>
      <c r="G6">
        <f t="shared" ref="G6:G11" si="0">E6*$F$6</f>
        <v>4</v>
      </c>
    </row>
    <row r="7" spans="3:7">
      <c r="C7">
        <v>90405</v>
      </c>
      <c r="D7" t="s">
        <v>64</v>
      </c>
      <c r="E7">
        <v>2</v>
      </c>
      <c r="F7" s="39"/>
      <c r="G7">
        <f t="shared" si="0"/>
        <v>2</v>
      </c>
    </row>
    <row r="8" spans="3:7">
      <c r="C8">
        <v>90253</v>
      </c>
      <c r="D8" t="s">
        <v>65</v>
      </c>
      <c r="E8">
        <v>6</v>
      </c>
      <c r="F8" s="39"/>
      <c r="G8">
        <f t="shared" si="0"/>
        <v>6</v>
      </c>
    </row>
    <row r="9" spans="3:7">
      <c r="C9">
        <v>90251</v>
      </c>
      <c r="D9" t="s">
        <v>66</v>
      </c>
      <c r="E9">
        <v>6</v>
      </c>
      <c r="F9" s="39"/>
      <c r="G9">
        <f t="shared" si="0"/>
        <v>6</v>
      </c>
    </row>
    <row r="10" spans="3:7">
      <c r="C10">
        <v>90695</v>
      </c>
      <c r="D10" t="s">
        <v>67</v>
      </c>
      <c r="E10">
        <v>6</v>
      </c>
      <c r="F10" s="39"/>
      <c r="G10">
        <f t="shared" si="0"/>
        <v>6</v>
      </c>
    </row>
    <row r="11" spans="3:7">
      <c r="C11">
        <v>90387</v>
      </c>
      <c r="D11" t="s">
        <v>68</v>
      </c>
      <c r="E11">
        <v>4</v>
      </c>
      <c r="F11" s="39"/>
      <c r="G11">
        <f t="shared" si="0"/>
        <v>4</v>
      </c>
    </row>
    <row r="14" spans="3:7">
      <c r="D14" t="s">
        <v>69</v>
      </c>
    </row>
    <row r="15" spans="3:7">
      <c r="C15">
        <v>90389</v>
      </c>
      <c r="D15" t="s">
        <v>63</v>
      </c>
      <c r="E15">
        <v>4</v>
      </c>
      <c r="F15" s="39">
        <v>1</v>
      </c>
      <c r="G15">
        <f>E15*$F$15</f>
        <v>4</v>
      </c>
    </row>
    <row r="16" spans="3:7">
      <c r="C16">
        <v>90405</v>
      </c>
      <c r="D16" t="s">
        <v>64</v>
      </c>
      <c r="E16">
        <v>2</v>
      </c>
      <c r="F16" s="39"/>
      <c r="G16">
        <f t="shared" ref="G16:G25" si="1">E16*$F$15</f>
        <v>2</v>
      </c>
    </row>
    <row r="17" spans="3:7">
      <c r="C17">
        <v>90253</v>
      </c>
      <c r="D17" t="s">
        <v>65</v>
      </c>
      <c r="E17">
        <v>1</v>
      </c>
      <c r="F17" s="39"/>
      <c r="G17">
        <f t="shared" si="1"/>
        <v>1</v>
      </c>
    </row>
    <row r="18" spans="3:7">
      <c r="C18">
        <v>90251</v>
      </c>
      <c r="D18" t="s">
        <v>66</v>
      </c>
      <c r="E18">
        <v>1</v>
      </c>
      <c r="F18" s="39"/>
      <c r="G18">
        <f t="shared" si="1"/>
        <v>1</v>
      </c>
    </row>
    <row r="19" spans="3:7">
      <c r="C19">
        <v>90695</v>
      </c>
      <c r="D19" t="s">
        <v>67</v>
      </c>
      <c r="E19">
        <v>1</v>
      </c>
      <c r="F19" s="39"/>
      <c r="G19">
        <f t="shared" si="1"/>
        <v>1</v>
      </c>
    </row>
    <row r="20" spans="3:7">
      <c r="C20">
        <v>90387</v>
      </c>
      <c r="D20" t="s">
        <v>68</v>
      </c>
      <c r="E20">
        <v>4</v>
      </c>
      <c r="F20" s="39"/>
      <c r="G20">
        <f t="shared" si="1"/>
        <v>4</v>
      </c>
    </row>
    <row r="21" spans="3:7">
      <c r="C21">
        <v>90387</v>
      </c>
      <c r="D21" t="s">
        <v>70</v>
      </c>
      <c r="E21">
        <v>6</v>
      </c>
      <c r="F21" s="39"/>
      <c r="G21">
        <f t="shared" si="1"/>
        <v>6</v>
      </c>
    </row>
    <row r="22" spans="3:7">
      <c r="C22">
        <v>90448</v>
      </c>
      <c r="D22" t="s">
        <v>71</v>
      </c>
      <c r="E22">
        <v>6</v>
      </c>
      <c r="F22" s="39"/>
      <c r="G22">
        <f t="shared" si="1"/>
        <v>6</v>
      </c>
    </row>
    <row r="23" spans="3:7">
      <c r="C23">
        <v>90277</v>
      </c>
      <c r="D23" t="s">
        <v>72</v>
      </c>
      <c r="E23">
        <v>6</v>
      </c>
      <c r="F23" s="39"/>
      <c r="G23">
        <f t="shared" si="1"/>
        <v>6</v>
      </c>
    </row>
    <row r="24" spans="3:7">
      <c r="C24">
        <v>90440</v>
      </c>
      <c r="D24" t="s">
        <v>73</v>
      </c>
      <c r="E24">
        <v>6</v>
      </c>
      <c r="F24" s="39"/>
      <c r="G24">
        <f t="shared" si="1"/>
        <v>6</v>
      </c>
    </row>
    <row r="25" spans="3:7">
      <c r="C25">
        <v>90307</v>
      </c>
      <c r="D25" t="s">
        <v>74</v>
      </c>
      <c r="E25">
        <v>6</v>
      </c>
      <c r="F25" s="39"/>
      <c r="G25">
        <f t="shared" si="1"/>
        <v>6</v>
      </c>
    </row>
  </sheetData>
  <mergeCells count="2">
    <mergeCell ref="F6:F11"/>
    <mergeCell ref="F15:F2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dos Santos de Oliveira</dc:creator>
  <cp:keywords/>
  <dc:description/>
  <cp:lastModifiedBy/>
  <cp:revision>1</cp:revision>
  <dcterms:created xsi:type="dcterms:W3CDTF">2007-06-06T14:26:55Z</dcterms:created>
  <dcterms:modified xsi:type="dcterms:W3CDTF">2026-07-30T18:19:50Z</dcterms:modified>
  <cp:category/>
  <cp:contentStatus/>
</cp:coreProperties>
</file>